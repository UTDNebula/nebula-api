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__everything\ACM\Development\comet-data-service\scraper\degreePlanImport\"/>
    </mc:Choice>
  </mc:AlternateContent>
  <xr:revisionPtr revIDLastSave="0" documentId="13_ncr:1_{245C91B5-9C81-49BE-A0F9-EAFEB26FCC75}" xr6:coauthVersionLast="45" xr6:coauthVersionMax="45" xr10:uidLastSave="{00000000-0000-0000-0000-000000000000}"/>
  <bookViews>
    <workbookView xWindow="23880" yWindow="-120" windowWidth="38640" windowHeight="21240" xr2:uid="{00000000-000D-0000-FFFF-FFFF00000000}"/>
  </bookViews>
  <sheets>
    <sheet name="Sheet1" sheetId="1" r:id="rId1"/>
    <sheet name="Minor" sheetId="4" r:id="rId2"/>
    <sheet name="NOTES" sheetId="3" r:id="rId3"/>
    <sheet name="Table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1" l="1"/>
  <c r="A59" i="1" l="1"/>
  <c r="A51" i="1" l="1"/>
  <c r="B41" i="1"/>
  <c r="B60" i="1" s="1"/>
  <c r="A21" i="1"/>
  <c r="A60" i="1" l="1"/>
  <c r="F1" i="4"/>
  <c r="B1" i="4"/>
</calcChain>
</file>

<file path=xl/sharedStrings.xml><?xml version="1.0" encoding="utf-8"?>
<sst xmlns="http://schemas.openxmlformats.org/spreadsheetml/2006/main" count="227" uniqueCount="166">
  <si>
    <r>
      <t>B.S. in COMPUTER SCIENCE (2020-2021 Catalog)</t>
    </r>
    <r>
      <rPr>
        <sz val="9"/>
        <color theme="1"/>
        <rFont val="Arial"/>
        <family val="2"/>
      </rPr>
      <t xml:space="preserve"> </t>
    </r>
  </si>
  <si>
    <t>Student</t>
  </si>
  <si>
    <t>UTD ID</t>
  </si>
  <si>
    <t>MAJOR PREPARATORY REQUIREMENTS</t>
  </si>
  <si>
    <t>LD</t>
  </si>
  <si>
    <t>UD</t>
  </si>
  <si>
    <t>NTS</t>
  </si>
  <si>
    <t>COURSE TITLE</t>
  </si>
  <si>
    <t>COURSE #</t>
  </si>
  <si>
    <t>GRADE</t>
  </si>
  <si>
    <t>SEM</t>
  </si>
  <si>
    <t>INFO</t>
  </si>
  <si>
    <t>Intro to Engineering and CS</t>
  </si>
  <si>
    <t>ECS 1100</t>
  </si>
  <si>
    <t>20F</t>
  </si>
  <si>
    <t>Intro to CS and SE</t>
  </si>
  <si>
    <t>CS 1200</t>
  </si>
  <si>
    <t>Programming Fundamentals</t>
  </si>
  <si>
    <t>CS 1336</t>
  </si>
  <si>
    <t>Computer Science Laboratory</t>
  </si>
  <si>
    <t>CS 1136</t>
  </si>
  <si>
    <t>SUB FORM NEEDED</t>
  </si>
  <si>
    <t>Computer Science I</t>
  </si>
  <si>
    <t>CS 1337</t>
  </si>
  <si>
    <t>Discrete Mathematics for Computing I</t>
  </si>
  <si>
    <t>CS 2305</t>
  </si>
  <si>
    <t>T</t>
  </si>
  <si>
    <t>Computer Science II</t>
  </si>
  <si>
    <t>CS 2336</t>
  </si>
  <si>
    <t>Computer Architecture</t>
  </si>
  <si>
    <t>CS 2340</t>
  </si>
  <si>
    <t>2,3</t>
  </si>
  <si>
    <t>Calculus I</t>
  </si>
  <si>
    <t>MATH 2413 or 2417</t>
  </si>
  <si>
    <t>Calculus II</t>
  </si>
  <si>
    <t>MATH 2414 or 2419</t>
  </si>
  <si>
    <t>Linear Algebra</t>
  </si>
  <si>
    <t>MATH 2418</t>
  </si>
  <si>
    <t>Mechanics</t>
  </si>
  <si>
    <t>PHYS 2325</t>
  </si>
  <si>
    <t>Physics Laboratory I</t>
  </si>
  <si>
    <t>PHYS 2125</t>
  </si>
  <si>
    <t>Electromagnetism and Waves</t>
  </si>
  <si>
    <t>PHYS 2326</t>
  </si>
  <si>
    <t>Physics Laboratory II</t>
  </si>
  <si>
    <t>PHYS 2126</t>
  </si>
  <si>
    <t>MAJOR CORE REQUIREMENTS</t>
  </si>
  <si>
    <t>Professional Responsibility in CS/SE</t>
  </si>
  <si>
    <t>CS 3162</t>
  </si>
  <si>
    <t>Discrete Math for Computing II</t>
  </si>
  <si>
    <t>CS 3305</t>
  </si>
  <si>
    <t>Probability &amp; Statistics in CS/SE</t>
  </si>
  <si>
    <t>CS 3341</t>
  </si>
  <si>
    <t>Data Structures &amp; Intro to Algorithmic Analysis</t>
  </si>
  <si>
    <t>CS 3345</t>
  </si>
  <si>
    <t>Software Engineering</t>
  </si>
  <si>
    <t>CS 3354</t>
  </si>
  <si>
    <t>C/C++ Programming in a UNIX Envirn</t>
  </si>
  <si>
    <t>CS 3377</t>
  </si>
  <si>
    <t>Organization of Programming Lang</t>
  </si>
  <si>
    <t>CS 4337</t>
  </si>
  <si>
    <t>Digital Logic and Computer Design</t>
  </si>
  <si>
    <t>CS 4341</t>
  </si>
  <si>
    <t>Digital Systems Laboratory</t>
  </si>
  <si>
    <t>CS 4141</t>
  </si>
  <si>
    <t>Database Systems</t>
  </si>
  <si>
    <t>CS 4347</t>
  </si>
  <si>
    <t>Operating Systems Concepts</t>
  </si>
  <si>
    <t>CS 4348</t>
  </si>
  <si>
    <t>Adv Algorithm Design &amp; Analysis</t>
  </si>
  <si>
    <t>CS 4349</t>
  </si>
  <si>
    <t>Automata Theory</t>
  </si>
  <si>
    <t>CS 4384</t>
  </si>
  <si>
    <t>Computer Science Project</t>
  </si>
  <si>
    <t>CS 4485</t>
  </si>
  <si>
    <t>CS Guided Elective</t>
  </si>
  <si>
    <t>CS 43XX</t>
  </si>
  <si>
    <t>Professional &amp; Technical Communication</t>
  </si>
  <si>
    <t>ECS 3390</t>
  </si>
  <si>
    <t>REMAINING CORE CURRICULUM</t>
  </si>
  <si>
    <t>Rhetoric</t>
  </si>
  <si>
    <t>RHET 1302</t>
  </si>
  <si>
    <t>American National Government</t>
  </si>
  <si>
    <t>GOVT 2305</t>
  </si>
  <si>
    <t>State and Local Government</t>
  </si>
  <si>
    <t>GOVT 2306</t>
  </si>
  <si>
    <t>US History Survey to Civil War (Core: 060)</t>
  </si>
  <si>
    <t>HIST 1301</t>
  </si>
  <si>
    <t>US History Survey from Civil War (Core: 060)</t>
  </si>
  <si>
    <t>HIST 1302</t>
  </si>
  <si>
    <t>Exploration of the Humanities (Core: 040)</t>
  </si>
  <si>
    <t>HUMA 1301</t>
  </si>
  <si>
    <t>PHIL 1306</t>
  </si>
  <si>
    <t>Exploration of the Arts (Core: 050)</t>
  </si>
  <si>
    <t>MUSI 1306</t>
  </si>
  <si>
    <t>Social Behavioral Science (Core: 080)</t>
  </si>
  <si>
    <t>ECON 2301</t>
  </si>
  <si>
    <t xml:space="preserve"> ELECTIVES (10 Hours - Requires Approval from Advisor)</t>
  </si>
  <si>
    <t>5,6</t>
  </si>
  <si>
    <t>Free Elective</t>
  </si>
  <si>
    <t>ECON 2302</t>
  </si>
  <si>
    <t>MATH 3323    20F</t>
  </si>
  <si>
    <t>MATH 2415</t>
  </si>
  <si>
    <t xml:space="preserve">Free Elective </t>
  </si>
  <si>
    <t>MATH 2420</t>
  </si>
  <si>
    <t>MUSI 3120</t>
  </si>
  <si>
    <t>Freshmen Seminar</t>
  </si>
  <si>
    <t>UNIV 1010</t>
  </si>
  <si>
    <t>Core Curriculum Assessment</t>
  </si>
  <si>
    <t>UNIV 2020</t>
  </si>
  <si>
    <t>Total Hours______  124 hours required for graduation.  Must include 51 hours as Upper Division.***</t>
  </si>
  <si>
    <t>NOTES</t>
  </si>
  <si>
    <t>1.  Major Requirement:  Must earn a C or better to receive credit.</t>
  </si>
  <si>
    <t>2.  Course meets both Major and CORE requirement.</t>
  </si>
  <si>
    <r>
      <t xml:space="preserve">3.  Must take Math 2413/2414 </t>
    </r>
    <r>
      <rPr>
        <b/>
        <i/>
        <sz val="8"/>
        <color theme="1"/>
        <rFont val="Arial"/>
        <family val="2"/>
      </rPr>
      <t xml:space="preserve">or </t>
    </r>
    <r>
      <rPr>
        <sz val="8"/>
        <color theme="1"/>
        <rFont val="Arial"/>
        <family val="2"/>
      </rPr>
      <t>Math 2417/2419.</t>
    </r>
  </si>
  <si>
    <t>4.  Other course options available.  See Advisor for details.</t>
  </si>
  <si>
    <t>5.  A maximum of 3 PHIN credits is allowed on any UTD degree plan.</t>
  </si>
  <si>
    <t>6.  Lower or upper division courses may count as free electives.</t>
  </si>
  <si>
    <t>7.  Incoming freshmen (FTIC) must enroll and complete requirements of UNIV 1010 and the corresponding school-related freshmen seminar course.</t>
  </si>
  <si>
    <t>8.  All students, including transfer students, who complete their core curriculum at UT Dallas must take UNIV 2020.</t>
  </si>
  <si>
    <t>*** Must have a minimum cumulative 2.0 GPA in all UTD coursework and a cumulative 2.0 GPA in all Major requirements to graduate.  Students must also complete 45 hours in residence and complete 24 of the last 30 hours at UTD.  No off-campus courses in the last semester allowed.</t>
  </si>
  <si>
    <t>Minor</t>
  </si>
  <si>
    <t>Requirements per the Catalog:</t>
  </si>
  <si>
    <t xml:space="preserve">Course </t>
  </si>
  <si>
    <t>Course Name</t>
  </si>
  <si>
    <t>Grade</t>
  </si>
  <si>
    <t>Semester</t>
  </si>
  <si>
    <t>CS 2336 or 2337</t>
  </si>
  <si>
    <t>AMS 2300</t>
  </si>
  <si>
    <t>AHST 1303</t>
  </si>
  <si>
    <t>BA 1320</t>
  </si>
  <si>
    <t>AMS 2341</t>
  </si>
  <si>
    <t>AHST 2331</t>
  </si>
  <si>
    <t>CLDP 2314</t>
  </si>
  <si>
    <t>CS 2337</t>
  </si>
  <si>
    <t>HIST 2301</t>
  </si>
  <si>
    <t>HIST 2341</t>
  </si>
  <si>
    <t>ARTS 1301</t>
  </si>
  <si>
    <t>CRIM 1301</t>
  </si>
  <si>
    <t>HIST 2384</t>
  </si>
  <si>
    <t>DANC 1305</t>
  </si>
  <si>
    <t>CRIM 1307</t>
  </si>
  <si>
    <t>MATH 2413</t>
  </si>
  <si>
    <t>LIT 1301</t>
  </si>
  <si>
    <t>DANC 1310</t>
  </si>
  <si>
    <t>MATH 2417</t>
  </si>
  <si>
    <t>LIT 2331</t>
  </si>
  <si>
    <t>FILM 2332</t>
  </si>
  <si>
    <t>PHIL 1301</t>
  </si>
  <si>
    <t>GEOG 2303</t>
  </si>
  <si>
    <t>MATH 2414</t>
  </si>
  <si>
    <t>PHIL 2316</t>
  </si>
  <si>
    <t>MUSI 2321</t>
  </si>
  <si>
    <t>GST 2300</t>
  </si>
  <si>
    <t>MATH 2419</t>
  </si>
  <si>
    <t>MUSI 2322</t>
  </si>
  <si>
    <t>PSY 2301</t>
  </si>
  <si>
    <t>THEA 1310</t>
  </si>
  <si>
    <t>PSY 2314</t>
  </si>
  <si>
    <t>SOC 1301</t>
  </si>
  <si>
    <t>SOC 2300</t>
  </si>
  <si>
    <t>ECS 2361</t>
  </si>
  <si>
    <t>ECS 3361</t>
  </si>
  <si>
    <t>21S</t>
  </si>
  <si>
    <t>CS 4365</t>
  </si>
  <si>
    <t>Temoc Comet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</si>
</sst>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8.5"/>
      <color theme="1"/>
      <name val="Arial"/>
      <family val="2"/>
    </font>
    <font>
      <b/>
      <i/>
      <sz val="8.5"/>
      <color theme="1"/>
      <name val="Arial"/>
      <family val="2"/>
    </font>
    <font>
      <b/>
      <i/>
      <sz val="8"/>
      <color theme="1"/>
      <name val="Arial"/>
      <family val="2"/>
    </font>
    <font>
      <sz val="8"/>
      <color theme="1"/>
      <name val="Arial"/>
      <family val="2"/>
    </font>
    <font>
      <sz val="1"/>
      <color theme="1"/>
      <name val="Arial"/>
      <family val="2"/>
    </font>
    <font>
      <b/>
      <sz val="11"/>
      <color theme="1"/>
      <name val="Calibri"/>
      <family val="2"/>
      <scheme val="minor"/>
    </font>
    <font>
      <sz val="8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Border="1"/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horizontal="left" vertical="center" indent="2"/>
    </xf>
    <xf numFmtId="0" fontId="3" fillId="0" borderId="0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0" xfId="0" applyFont="1" applyBorder="1" applyAlignment="1">
      <alignment horizontal="right"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 wrapText="1"/>
    </xf>
    <xf numFmtId="49" fontId="0" fillId="0" borderId="0" xfId="0" applyNumberFormat="1" applyBorder="1"/>
    <xf numFmtId="0" fontId="10" fillId="0" borderId="0" xfId="0" applyFont="1" applyAlignment="1">
      <alignment horizontal="right"/>
    </xf>
    <xf numFmtId="0" fontId="10" fillId="0" borderId="0" xfId="0" applyFont="1" applyBorder="1" applyAlignment="1">
      <alignment horizontal="right"/>
    </xf>
    <xf numFmtId="0" fontId="10" fillId="0" borderId="0" xfId="0" applyFont="1" applyAlignment="1"/>
    <xf numFmtId="0" fontId="0" fillId="0" borderId="0" xfId="0" applyAlignment="1"/>
    <xf numFmtId="0" fontId="8" fillId="0" borderId="1" xfId="0" applyFont="1" applyBorder="1" applyAlignment="1">
      <alignment vertical="center" wrapText="1"/>
    </xf>
    <xf numFmtId="0" fontId="0" fillId="0" borderId="0" xfId="0" applyBorder="1" applyAlignment="1"/>
    <xf numFmtId="0" fontId="8" fillId="0" borderId="1" xfId="0" applyFont="1" applyFill="1" applyBorder="1" applyAlignment="1">
      <alignment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1" xfId="0" applyBorder="1"/>
    <xf numFmtId="0" fontId="10" fillId="2" borderId="1" xfId="0" applyFont="1" applyFill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0" fillId="0" borderId="1" xfId="0" applyBorder="1" applyAlignment="1"/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0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600075</xdr:colOff>
      <xdr:row>0</xdr:row>
      <xdr:rowOff>104775</xdr:rowOff>
    </xdr:from>
    <xdr:to>
      <xdr:col>11</xdr:col>
      <xdr:colOff>123825</xdr:colOff>
      <xdr:row>3</xdr:row>
      <xdr:rowOff>95250</xdr:rowOff>
    </xdr:to>
    <xdr:sp macro="" textlink="">
      <xdr:nvSpPr>
        <xdr:cNvPr id="1037" name="Button 13" hidden="1">
          <a:extLst>
            <a:ext uri="{63B3BB69-23CF-44E3-9099-C40C66FF867C}">
              <a14:compatExt xmlns:a14="http://schemas.microsoft.com/office/drawing/2010/main" spid="_x0000_s1037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Reset Form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</xdr:row>
      <xdr:rowOff>104775</xdr:rowOff>
    </xdr:from>
    <xdr:to>
      <xdr:col>10</xdr:col>
      <xdr:colOff>504825</xdr:colOff>
      <xdr:row>23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33400" y="295275"/>
          <a:ext cx="6067425" cy="414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CHEM 1405 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7"/>
  <sheetViews>
    <sheetView tabSelected="1" zoomScale="205" zoomScaleNormal="205" workbookViewId="0">
      <selection activeCell="E9" sqref="E9"/>
    </sheetView>
  </sheetViews>
  <sheetFormatPr defaultColWidth="9.140625" defaultRowHeight="15" x14ac:dyDescent="0.25"/>
  <cols>
    <col min="1" max="2" width="3.7109375" style="1" customWidth="1"/>
    <col min="3" max="3" width="4.140625" style="1" customWidth="1"/>
    <col min="4" max="4" width="35" style="1" customWidth="1"/>
    <col min="5" max="5" width="15.28515625" style="1" customWidth="1"/>
    <col min="6" max="6" width="9.7109375" style="1" customWidth="1"/>
    <col min="7" max="7" width="12.42578125" style="12" customWidth="1"/>
    <col min="8" max="8" width="17" style="1" customWidth="1"/>
    <col min="9" max="16384" width="9.140625" style="1"/>
  </cols>
  <sheetData>
    <row r="1" spans="1:11" ht="11.1" customHeight="1" x14ac:dyDescent="0.25">
      <c r="A1" s="32" t="s">
        <v>0</v>
      </c>
      <c r="B1" s="32"/>
      <c r="C1" s="32"/>
      <c r="D1" s="32"/>
      <c r="E1" s="32"/>
      <c r="F1" s="32"/>
      <c r="G1" s="32"/>
      <c r="H1" s="32"/>
      <c r="I1" s="18"/>
      <c r="J1" s="18"/>
      <c r="K1" s="18"/>
    </row>
    <row r="2" spans="1:11" ht="11.1" customHeight="1" x14ac:dyDescent="0.25">
      <c r="A2" s="6" t="s">
        <v>1</v>
      </c>
      <c r="B2" s="6"/>
      <c r="C2" s="34" t="s">
        <v>165</v>
      </c>
      <c r="D2" s="34"/>
      <c r="E2" s="9" t="s">
        <v>2</v>
      </c>
      <c r="F2" s="34"/>
      <c r="G2" s="34"/>
      <c r="H2" s="34"/>
      <c r="I2" s="18"/>
      <c r="J2" s="18"/>
      <c r="K2" s="18"/>
    </row>
    <row r="3" spans="1:11" ht="11.1" customHeight="1" x14ac:dyDescent="0.25">
      <c r="A3" s="6"/>
      <c r="B3" s="6"/>
      <c r="C3" s="25"/>
      <c r="D3" s="25"/>
      <c r="E3" s="9"/>
      <c r="F3" s="25"/>
      <c r="G3" s="10"/>
      <c r="H3" s="25"/>
      <c r="I3" s="18"/>
      <c r="J3" s="18"/>
      <c r="K3" s="18"/>
    </row>
    <row r="4" spans="1:11" ht="11.1" customHeight="1" x14ac:dyDescent="0.25">
      <c r="A4" s="32" t="s">
        <v>3</v>
      </c>
      <c r="B4" s="32"/>
      <c r="C4" s="32"/>
      <c r="D4" s="32"/>
      <c r="E4" s="32"/>
      <c r="F4" s="32"/>
      <c r="G4" s="32"/>
      <c r="H4" s="32"/>
      <c r="I4" s="18"/>
      <c r="J4" s="18"/>
      <c r="K4" s="18"/>
    </row>
    <row r="5" spans="1:11" ht="12.95" customHeight="1" x14ac:dyDescent="0.25">
      <c r="A5" s="7" t="s">
        <v>4</v>
      </c>
      <c r="B5" s="7" t="s">
        <v>5</v>
      </c>
      <c r="C5" s="7" t="s">
        <v>6</v>
      </c>
      <c r="D5" s="8" t="s">
        <v>7</v>
      </c>
      <c r="E5" s="8" t="s">
        <v>8</v>
      </c>
      <c r="F5" s="7" t="s">
        <v>9</v>
      </c>
      <c r="G5" s="11" t="s">
        <v>10</v>
      </c>
      <c r="H5" s="7" t="s">
        <v>11</v>
      </c>
      <c r="I5" s="18"/>
      <c r="J5" s="18"/>
      <c r="K5" s="18"/>
    </row>
    <row r="6" spans="1:11" ht="11.1" customHeight="1" x14ac:dyDescent="0.25">
      <c r="A6" s="27">
        <v>1</v>
      </c>
      <c r="B6" s="27"/>
      <c r="C6" s="27">
        <v>7</v>
      </c>
      <c r="D6" s="17" t="s">
        <v>12</v>
      </c>
      <c r="E6" s="17" t="s">
        <v>13</v>
      </c>
      <c r="F6" s="24"/>
      <c r="G6" s="20" t="s">
        <v>14</v>
      </c>
      <c r="H6" s="22"/>
      <c r="I6" s="18"/>
      <c r="J6" s="18"/>
      <c r="K6" s="18"/>
    </row>
    <row r="7" spans="1:11" ht="11.1" customHeight="1" x14ac:dyDescent="0.25">
      <c r="A7" s="27">
        <v>2</v>
      </c>
      <c r="B7" s="27"/>
      <c r="C7" s="27"/>
      <c r="D7" s="17" t="s">
        <v>15</v>
      </c>
      <c r="E7" s="17" t="s">
        <v>16</v>
      </c>
      <c r="F7" s="24"/>
      <c r="G7" s="20" t="s">
        <v>14</v>
      </c>
      <c r="H7" s="22"/>
      <c r="I7" s="18"/>
      <c r="J7" s="18"/>
      <c r="K7" s="18"/>
    </row>
    <row r="8" spans="1:11" ht="11.1" customHeight="1" x14ac:dyDescent="0.25">
      <c r="A8" s="27">
        <v>3</v>
      </c>
      <c r="B8" s="27"/>
      <c r="C8" s="27">
        <v>1</v>
      </c>
      <c r="D8" s="17" t="s">
        <v>17</v>
      </c>
      <c r="E8" s="17" t="s">
        <v>18</v>
      </c>
      <c r="F8" s="24"/>
      <c r="G8" s="20" t="s">
        <v>26</v>
      </c>
      <c r="H8" s="22"/>
      <c r="I8" s="18"/>
      <c r="J8" s="18"/>
      <c r="K8" s="18"/>
    </row>
    <row r="9" spans="1:11" ht="11.1" customHeight="1" x14ac:dyDescent="0.25">
      <c r="A9" s="27">
        <v>1</v>
      </c>
      <c r="B9" s="27"/>
      <c r="C9" s="27"/>
      <c r="D9" s="17" t="s">
        <v>19</v>
      </c>
      <c r="E9" s="17" t="s">
        <v>20</v>
      </c>
      <c r="F9" s="24"/>
      <c r="G9" s="20" t="s">
        <v>26</v>
      </c>
      <c r="H9" s="22" t="s">
        <v>21</v>
      </c>
      <c r="I9" s="18"/>
      <c r="J9" s="18"/>
      <c r="K9" s="18"/>
    </row>
    <row r="10" spans="1:11" ht="11.1" customHeight="1" x14ac:dyDescent="0.25">
      <c r="A10" s="27">
        <v>3</v>
      </c>
      <c r="B10" s="27"/>
      <c r="C10" s="27">
        <v>1</v>
      </c>
      <c r="D10" s="17" t="s">
        <v>22</v>
      </c>
      <c r="E10" s="19" t="s">
        <v>23</v>
      </c>
      <c r="F10" s="24"/>
      <c r="G10" s="20" t="s">
        <v>26</v>
      </c>
      <c r="H10" s="22"/>
      <c r="I10" s="18"/>
      <c r="J10" s="18"/>
      <c r="K10" s="18"/>
    </row>
    <row r="11" spans="1:11" ht="11.1" customHeight="1" x14ac:dyDescent="0.25">
      <c r="A11" s="27">
        <v>3</v>
      </c>
      <c r="B11" s="27"/>
      <c r="C11" s="27">
        <v>1</v>
      </c>
      <c r="D11" s="17" t="s">
        <v>24</v>
      </c>
      <c r="E11" s="19" t="s">
        <v>25</v>
      </c>
      <c r="F11" s="24" t="s">
        <v>26</v>
      </c>
      <c r="G11" s="20" t="s">
        <v>26</v>
      </c>
      <c r="H11" s="22"/>
      <c r="I11" s="18"/>
      <c r="J11" s="18"/>
      <c r="K11" s="18"/>
    </row>
    <row r="12" spans="1:11" ht="11.1" customHeight="1" x14ac:dyDescent="0.25">
      <c r="A12" s="27">
        <v>3</v>
      </c>
      <c r="B12" s="27"/>
      <c r="C12" s="27">
        <v>1</v>
      </c>
      <c r="D12" s="17" t="s">
        <v>27</v>
      </c>
      <c r="E12" s="19" t="s">
        <v>28</v>
      </c>
      <c r="F12" s="24" t="s">
        <v>26</v>
      </c>
      <c r="G12" s="20" t="s">
        <v>26</v>
      </c>
      <c r="H12" s="22"/>
      <c r="I12" s="18"/>
      <c r="J12" s="18"/>
      <c r="K12" s="18"/>
    </row>
    <row r="13" spans="1:11" ht="11.1" customHeight="1" x14ac:dyDescent="0.25">
      <c r="A13" s="27">
        <v>3</v>
      </c>
      <c r="B13" s="27"/>
      <c r="C13" s="27"/>
      <c r="D13" s="17" t="s">
        <v>29</v>
      </c>
      <c r="E13" s="19" t="s">
        <v>30</v>
      </c>
      <c r="F13" s="24"/>
      <c r="G13" s="20" t="s">
        <v>163</v>
      </c>
      <c r="H13" s="22"/>
      <c r="I13" s="18"/>
      <c r="J13" s="18"/>
      <c r="K13" s="18"/>
    </row>
    <row r="14" spans="1:11" ht="11.1" customHeight="1" x14ac:dyDescent="0.25">
      <c r="A14" s="27">
        <v>4</v>
      </c>
      <c r="B14" s="27"/>
      <c r="C14" s="27" t="s">
        <v>31</v>
      </c>
      <c r="D14" s="17" t="s">
        <v>32</v>
      </c>
      <c r="E14" s="19" t="s">
        <v>33</v>
      </c>
      <c r="F14" s="24"/>
      <c r="G14" s="20" t="s">
        <v>26</v>
      </c>
      <c r="H14" s="22"/>
      <c r="I14" s="18"/>
      <c r="J14" s="18"/>
      <c r="K14" s="18"/>
    </row>
    <row r="15" spans="1:11" ht="11.1" customHeight="1" x14ac:dyDescent="0.25">
      <c r="A15" s="27">
        <v>4</v>
      </c>
      <c r="B15" s="27"/>
      <c r="C15" s="27" t="s">
        <v>31</v>
      </c>
      <c r="D15" s="17" t="s">
        <v>34</v>
      </c>
      <c r="E15" s="19" t="s">
        <v>35</v>
      </c>
      <c r="F15" s="24"/>
      <c r="G15" s="20" t="s">
        <v>26</v>
      </c>
      <c r="H15" s="22"/>
      <c r="I15" s="18"/>
      <c r="J15" s="18"/>
      <c r="K15" s="18"/>
    </row>
    <row r="16" spans="1:11" ht="11.1" customHeight="1" x14ac:dyDescent="0.25">
      <c r="A16" s="27">
        <v>4</v>
      </c>
      <c r="B16" s="27"/>
      <c r="C16" s="27"/>
      <c r="D16" s="17" t="s">
        <v>36</v>
      </c>
      <c r="E16" s="19" t="s">
        <v>37</v>
      </c>
      <c r="F16" s="24"/>
      <c r="G16" s="20" t="s">
        <v>26</v>
      </c>
      <c r="H16" s="22"/>
      <c r="I16" s="18"/>
      <c r="J16" s="18"/>
      <c r="K16" s="18"/>
    </row>
    <row r="17" spans="1:11" ht="11.1" customHeight="1" x14ac:dyDescent="0.25">
      <c r="A17" s="27">
        <v>3</v>
      </c>
      <c r="B17" s="27"/>
      <c r="C17" s="27">
        <v>2</v>
      </c>
      <c r="D17" s="17" t="s">
        <v>38</v>
      </c>
      <c r="E17" s="19" t="s">
        <v>39</v>
      </c>
      <c r="F17" s="24"/>
      <c r="G17" s="20" t="s">
        <v>26</v>
      </c>
      <c r="H17" s="22"/>
      <c r="I17" s="18"/>
      <c r="J17" s="18"/>
      <c r="K17" s="18"/>
    </row>
    <row r="18" spans="1:11" ht="11.1" customHeight="1" x14ac:dyDescent="0.25">
      <c r="A18" s="27">
        <v>1</v>
      </c>
      <c r="B18" s="27"/>
      <c r="C18" s="27">
        <v>2</v>
      </c>
      <c r="D18" s="17" t="s">
        <v>40</v>
      </c>
      <c r="E18" s="17" t="s">
        <v>41</v>
      </c>
      <c r="F18" s="24"/>
      <c r="G18" s="20" t="s">
        <v>26</v>
      </c>
      <c r="H18" s="22"/>
      <c r="I18" s="18"/>
      <c r="J18" s="18"/>
      <c r="K18" s="18"/>
    </row>
    <row r="19" spans="1:11" ht="11.1" customHeight="1" x14ac:dyDescent="0.25">
      <c r="A19" s="27">
        <v>3</v>
      </c>
      <c r="B19" s="27"/>
      <c r="C19" s="27">
        <v>2</v>
      </c>
      <c r="D19" s="17" t="s">
        <v>42</v>
      </c>
      <c r="E19" s="19" t="s">
        <v>43</v>
      </c>
      <c r="F19" s="24"/>
      <c r="G19" s="20" t="s">
        <v>163</v>
      </c>
      <c r="H19" s="22"/>
      <c r="I19" s="18"/>
      <c r="J19" s="18"/>
      <c r="K19" s="18"/>
    </row>
    <row r="20" spans="1:11" ht="11.1" customHeight="1" x14ac:dyDescent="0.25">
      <c r="A20" s="27">
        <v>1</v>
      </c>
      <c r="B20" s="27"/>
      <c r="C20" s="27"/>
      <c r="D20" s="17" t="s">
        <v>44</v>
      </c>
      <c r="E20" s="17" t="s">
        <v>45</v>
      </c>
      <c r="F20" s="24"/>
      <c r="G20" s="20" t="s">
        <v>163</v>
      </c>
      <c r="H20" s="22"/>
      <c r="I20" s="18"/>
      <c r="J20" s="18"/>
      <c r="K20" s="18"/>
    </row>
    <row r="21" spans="1:11" ht="11.1" customHeight="1" x14ac:dyDescent="0.25">
      <c r="A21" s="27">
        <f>SUM(A6:A20)</f>
        <v>39</v>
      </c>
      <c r="B21" s="27">
        <f>SUM(B6:B20)</f>
        <v>0</v>
      </c>
      <c r="C21" s="32"/>
      <c r="D21" s="32"/>
      <c r="E21" s="32"/>
      <c r="F21" s="32"/>
      <c r="G21" s="32"/>
      <c r="H21" s="32"/>
      <c r="I21" s="18"/>
      <c r="J21" s="18"/>
      <c r="K21" s="18"/>
    </row>
    <row r="22" spans="1:11" ht="11.1" customHeight="1" x14ac:dyDescent="0.25">
      <c r="A22" s="32" t="s">
        <v>46</v>
      </c>
      <c r="B22" s="32"/>
      <c r="C22" s="32"/>
      <c r="D22" s="32"/>
      <c r="E22" s="32"/>
      <c r="F22" s="32"/>
      <c r="G22" s="32"/>
      <c r="H22" s="32"/>
      <c r="I22" s="18"/>
      <c r="J22" s="18"/>
      <c r="K22" s="18"/>
    </row>
    <row r="23" spans="1:11" ht="11.1" customHeight="1" x14ac:dyDescent="0.25">
      <c r="A23" s="27"/>
      <c r="B23" s="27">
        <v>1</v>
      </c>
      <c r="C23" s="27"/>
      <c r="D23" s="17" t="s">
        <v>47</v>
      </c>
      <c r="E23" s="17" t="s">
        <v>48</v>
      </c>
      <c r="F23" s="24"/>
      <c r="G23" s="20"/>
      <c r="H23" s="21"/>
      <c r="I23" s="18"/>
      <c r="J23" s="18"/>
      <c r="K23" s="18"/>
    </row>
    <row r="24" spans="1:11" ht="11.1" customHeight="1" x14ac:dyDescent="0.25">
      <c r="A24" s="27"/>
      <c r="B24" s="27">
        <v>3</v>
      </c>
      <c r="C24" s="27">
        <v>1</v>
      </c>
      <c r="D24" s="17" t="s">
        <v>49</v>
      </c>
      <c r="E24" s="17" t="s">
        <v>50</v>
      </c>
      <c r="F24" s="24"/>
      <c r="G24" s="20" t="s">
        <v>163</v>
      </c>
      <c r="H24" s="21"/>
      <c r="I24" s="18"/>
      <c r="J24" s="18"/>
      <c r="K24" s="18"/>
    </row>
    <row r="25" spans="1:11" ht="11.1" customHeight="1" x14ac:dyDescent="0.25">
      <c r="A25" s="27"/>
      <c r="B25" s="27">
        <v>3</v>
      </c>
      <c r="C25" s="27"/>
      <c r="D25" s="17" t="s">
        <v>51</v>
      </c>
      <c r="E25" s="17" t="s">
        <v>52</v>
      </c>
      <c r="F25" s="24"/>
      <c r="G25" s="20" t="s">
        <v>14</v>
      </c>
      <c r="H25" s="21"/>
      <c r="I25" s="18"/>
      <c r="J25" s="18"/>
      <c r="K25" s="18"/>
    </row>
    <row r="26" spans="1:11" ht="11.1" customHeight="1" x14ac:dyDescent="0.25">
      <c r="A26" s="27"/>
      <c r="B26" s="27">
        <v>3</v>
      </c>
      <c r="C26" s="27"/>
      <c r="D26" s="17" t="s">
        <v>53</v>
      </c>
      <c r="E26" s="17" t="s">
        <v>54</v>
      </c>
      <c r="F26" s="24"/>
      <c r="G26" s="20" t="s">
        <v>14</v>
      </c>
      <c r="H26" s="21"/>
      <c r="I26" s="18"/>
      <c r="J26" s="18"/>
      <c r="K26" s="18"/>
    </row>
    <row r="27" spans="1:11" ht="11.1" customHeight="1" x14ac:dyDescent="0.25">
      <c r="A27" s="27"/>
      <c r="B27" s="27">
        <v>3</v>
      </c>
      <c r="C27" s="27"/>
      <c r="D27" s="17" t="s">
        <v>55</v>
      </c>
      <c r="E27" s="17" t="s">
        <v>56</v>
      </c>
      <c r="F27" s="24"/>
      <c r="G27" s="20"/>
      <c r="H27" s="21"/>
      <c r="I27" s="18"/>
      <c r="J27" s="18"/>
      <c r="K27" s="18"/>
    </row>
    <row r="28" spans="1:11" ht="11.1" customHeight="1" x14ac:dyDescent="0.25">
      <c r="A28" s="27"/>
      <c r="B28" s="27">
        <v>3</v>
      </c>
      <c r="C28" s="27"/>
      <c r="D28" s="17" t="s">
        <v>57</v>
      </c>
      <c r="E28" s="17" t="s">
        <v>58</v>
      </c>
      <c r="F28" s="24"/>
      <c r="G28" s="20" t="s">
        <v>163</v>
      </c>
      <c r="H28" s="21"/>
      <c r="I28" s="18"/>
      <c r="J28" s="18"/>
      <c r="K28" s="18"/>
    </row>
    <row r="29" spans="1:11" ht="11.1" customHeight="1" x14ac:dyDescent="0.25">
      <c r="A29" s="27"/>
      <c r="B29" s="27">
        <v>3</v>
      </c>
      <c r="C29" s="27"/>
      <c r="D29" s="17" t="s">
        <v>59</v>
      </c>
      <c r="E29" s="17" t="s">
        <v>60</v>
      </c>
      <c r="F29" s="24"/>
      <c r="G29" s="20"/>
      <c r="H29" s="21"/>
      <c r="I29" s="18"/>
      <c r="J29" s="18"/>
      <c r="K29" s="18"/>
    </row>
    <row r="30" spans="1:11" ht="11.1" customHeight="1" x14ac:dyDescent="0.25">
      <c r="A30" s="27"/>
      <c r="B30" s="27">
        <v>3</v>
      </c>
      <c r="C30" s="27"/>
      <c r="D30" s="17" t="s">
        <v>61</v>
      </c>
      <c r="E30" s="17" t="s">
        <v>62</v>
      </c>
      <c r="F30" s="24"/>
      <c r="G30" s="20"/>
      <c r="H30" s="21"/>
      <c r="I30" s="18"/>
      <c r="J30" s="18"/>
      <c r="K30" s="18"/>
    </row>
    <row r="31" spans="1:11" ht="11.1" customHeight="1" x14ac:dyDescent="0.25">
      <c r="A31" s="27"/>
      <c r="B31" s="27">
        <v>1</v>
      </c>
      <c r="C31" s="27"/>
      <c r="D31" s="17" t="s">
        <v>63</v>
      </c>
      <c r="E31" s="17" t="s">
        <v>64</v>
      </c>
      <c r="F31" s="24"/>
      <c r="G31" s="20"/>
      <c r="H31" s="21"/>
      <c r="I31" s="18"/>
      <c r="J31" s="18"/>
      <c r="K31" s="18"/>
    </row>
    <row r="32" spans="1:11" ht="11.1" customHeight="1" x14ac:dyDescent="0.25">
      <c r="A32" s="27"/>
      <c r="B32" s="27">
        <v>3</v>
      </c>
      <c r="C32" s="27"/>
      <c r="D32" s="17" t="s">
        <v>65</v>
      </c>
      <c r="E32" s="17" t="s">
        <v>66</v>
      </c>
      <c r="F32" s="24"/>
      <c r="G32" s="20"/>
      <c r="H32" s="21"/>
      <c r="I32" s="18"/>
      <c r="J32" s="18"/>
      <c r="K32" s="18"/>
    </row>
    <row r="33" spans="1:11" ht="11.1" customHeight="1" x14ac:dyDescent="0.25">
      <c r="A33" s="27"/>
      <c r="B33" s="27">
        <v>3</v>
      </c>
      <c r="C33" s="27"/>
      <c r="D33" s="17" t="s">
        <v>67</v>
      </c>
      <c r="E33" s="17" t="s">
        <v>68</v>
      </c>
      <c r="F33" s="24"/>
      <c r="G33" s="20"/>
      <c r="H33" s="21"/>
      <c r="I33" s="18"/>
      <c r="J33" s="18"/>
      <c r="K33" s="18"/>
    </row>
    <row r="34" spans="1:11" ht="11.1" customHeight="1" x14ac:dyDescent="0.25">
      <c r="A34" s="27"/>
      <c r="B34" s="27">
        <v>3</v>
      </c>
      <c r="C34" s="27"/>
      <c r="D34" s="17" t="s">
        <v>69</v>
      </c>
      <c r="E34" s="17" t="s">
        <v>70</v>
      </c>
      <c r="F34" s="24"/>
      <c r="G34" s="20"/>
      <c r="H34" s="21"/>
      <c r="I34" s="18"/>
      <c r="J34" s="18"/>
      <c r="K34" s="18"/>
    </row>
    <row r="35" spans="1:11" ht="11.1" customHeight="1" x14ac:dyDescent="0.25">
      <c r="A35" s="27"/>
      <c r="B35" s="27">
        <v>3</v>
      </c>
      <c r="C35" s="27"/>
      <c r="D35" s="17" t="s">
        <v>71</v>
      </c>
      <c r="E35" s="17" t="s">
        <v>72</v>
      </c>
      <c r="F35" s="24"/>
      <c r="G35" s="20"/>
      <c r="H35" s="21"/>
      <c r="I35" s="18"/>
      <c r="J35" s="18"/>
      <c r="K35" s="18"/>
    </row>
    <row r="36" spans="1:11" ht="11.1" customHeight="1" x14ac:dyDescent="0.25">
      <c r="A36" s="27"/>
      <c r="B36" s="27">
        <v>4</v>
      </c>
      <c r="C36" s="27"/>
      <c r="D36" s="17" t="s">
        <v>73</v>
      </c>
      <c r="E36" s="17" t="s">
        <v>74</v>
      </c>
      <c r="F36" s="24"/>
      <c r="G36" s="20"/>
      <c r="H36" s="21"/>
      <c r="I36" s="18"/>
      <c r="J36" s="18"/>
      <c r="K36" s="18"/>
    </row>
    <row r="37" spans="1:11" ht="11.1" customHeight="1" x14ac:dyDescent="0.25">
      <c r="A37" s="27"/>
      <c r="B37" s="27">
        <v>3</v>
      </c>
      <c r="C37" s="27"/>
      <c r="D37" s="17" t="s">
        <v>75</v>
      </c>
      <c r="E37" s="17" t="s">
        <v>76</v>
      </c>
      <c r="F37" s="24"/>
      <c r="G37" s="20" t="s">
        <v>163</v>
      </c>
      <c r="H37" s="21" t="s">
        <v>164</v>
      </c>
      <c r="I37" s="18"/>
      <c r="J37" s="18"/>
      <c r="K37" s="18"/>
    </row>
    <row r="38" spans="1:11" ht="11.1" customHeight="1" x14ac:dyDescent="0.25">
      <c r="A38" s="27"/>
      <c r="B38" s="27">
        <v>3</v>
      </c>
      <c r="C38" s="27"/>
      <c r="D38" s="17" t="s">
        <v>75</v>
      </c>
      <c r="E38" s="17" t="s">
        <v>76</v>
      </c>
      <c r="F38" s="24"/>
      <c r="G38" s="20"/>
      <c r="H38" s="21"/>
      <c r="I38" s="18"/>
      <c r="J38" s="18"/>
      <c r="K38" s="18"/>
    </row>
    <row r="39" spans="1:11" ht="11.1" customHeight="1" x14ac:dyDescent="0.25">
      <c r="A39" s="27"/>
      <c r="B39" s="27">
        <v>3</v>
      </c>
      <c r="C39" s="27"/>
      <c r="D39" s="17" t="s">
        <v>75</v>
      </c>
      <c r="E39" s="17" t="s">
        <v>76</v>
      </c>
      <c r="F39" s="24"/>
      <c r="G39" s="20"/>
      <c r="H39" s="21"/>
      <c r="I39" s="18"/>
      <c r="J39" s="18"/>
      <c r="K39" s="18"/>
    </row>
    <row r="40" spans="1:11" ht="11.1" customHeight="1" x14ac:dyDescent="0.25">
      <c r="A40" s="27"/>
      <c r="B40" s="27">
        <v>3</v>
      </c>
      <c r="C40" s="27">
        <v>2</v>
      </c>
      <c r="D40" s="17" t="s">
        <v>77</v>
      </c>
      <c r="E40" s="17" t="s">
        <v>78</v>
      </c>
      <c r="F40" s="24"/>
      <c r="G40" s="20"/>
      <c r="H40" s="21"/>
      <c r="I40" s="18"/>
      <c r="J40" s="18"/>
      <c r="K40" s="18"/>
    </row>
    <row r="41" spans="1:11" ht="11.1" customHeight="1" x14ac:dyDescent="0.25">
      <c r="A41" s="27"/>
      <c r="B41" s="27">
        <f>SUM(B23:B40)</f>
        <v>51</v>
      </c>
      <c r="C41" s="33"/>
      <c r="D41" s="33"/>
      <c r="E41" s="33"/>
      <c r="F41" s="33"/>
      <c r="G41" s="33"/>
      <c r="H41" s="33"/>
      <c r="I41" s="18"/>
      <c r="J41" s="18"/>
      <c r="K41" s="18"/>
    </row>
    <row r="42" spans="1:11" ht="11.1" customHeight="1" x14ac:dyDescent="0.25">
      <c r="A42" s="32" t="s">
        <v>79</v>
      </c>
      <c r="B42" s="32"/>
      <c r="C42" s="32"/>
      <c r="D42" s="32"/>
      <c r="E42" s="32"/>
      <c r="F42" s="32"/>
      <c r="G42" s="32"/>
      <c r="H42" s="32"/>
      <c r="I42" s="18"/>
      <c r="J42" s="18"/>
      <c r="K42" s="18"/>
    </row>
    <row r="43" spans="1:11" ht="11.1" customHeight="1" x14ac:dyDescent="0.25">
      <c r="A43" s="27">
        <v>3</v>
      </c>
      <c r="B43" s="27"/>
      <c r="C43" s="27"/>
      <c r="D43" s="17" t="s">
        <v>80</v>
      </c>
      <c r="E43" s="17" t="s">
        <v>81</v>
      </c>
      <c r="F43" s="24" t="s">
        <v>26</v>
      </c>
      <c r="G43" s="20" t="s">
        <v>26</v>
      </c>
      <c r="H43" s="21"/>
      <c r="I43" s="18"/>
      <c r="J43" s="18"/>
      <c r="K43" s="18"/>
    </row>
    <row r="44" spans="1:11" ht="11.1" customHeight="1" x14ac:dyDescent="0.25">
      <c r="A44" s="27">
        <v>3</v>
      </c>
      <c r="B44" s="27"/>
      <c r="C44" s="27"/>
      <c r="D44" s="17" t="s">
        <v>82</v>
      </c>
      <c r="E44" s="17" t="s">
        <v>83</v>
      </c>
      <c r="F44" s="24"/>
      <c r="G44" s="20"/>
      <c r="H44" s="21"/>
      <c r="I44" s="18"/>
      <c r="J44" s="18"/>
      <c r="K44" s="18"/>
    </row>
    <row r="45" spans="1:11" ht="11.1" customHeight="1" x14ac:dyDescent="0.25">
      <c r="A45" s="27">
        <v>3</v>
      </c>
      <c r="B45" s="27"/>
      <c r="C45" s="27"/>
      <c r="D45" s="17" t="s">
        <v>84</v>
      </c>
      <c r="E45" s="17" t="s">
        <v>85</v>
      </c>
      <c r="F45" s="24"/>
      <c r="G45" s="20" t="s">
        <v>14</v>
      </c>
      <c r="H45" s="21"/>
      <c r="I45" s="18"/>
      <c r="J45" s="18"/>
      <c r="K45" s="18"/>
    </row>
    <row r="46" spans="1:11" ht="11.1" customHeight="1" x14ac:dyDescent="0.25">
      <c r="A46" s="27">
        <v>3</v>
      </c>
      <c r="B46" s="27"/>
      <c r="C46" s="27">
        <v>4</v>
      </c>
      <c r="D46" s="17" t="s">
        <v>86</v>
      </c>
      <c r="E46" s="17" t="s">
        <v>87</v>
      </c>
      <c r="F46" s="24" t="s">
        <v>26</v>
      </c>
      <c r="G46" s="20" t="s">
        <v>26</v>
      </c>
      <c r="H46" s="21"/>
      <c r="I46" s="18"/>
      <c r="J46" s="18"/>
      <c r="K46" s="18"/>
    </row>
    <row r="47" spans="1:11" ht="11.1" customHeight="1" x14ac:dyDescent="0.25">
      <c r="A47" s="27">
        <v>3</v>
      </c>
      <c r="B47" s="27"/>
      <c r="C47" s="27">
        <v>4</v>
      </c>
      <c r="D47" s="17" t="s">
        <v>88</v>
      </c>
      <c r="E47" s="17" t="s">
        <v>89</v>
      </c>
      <c r="F47" s="24" t="s">
        <v>26</v>
      </c>
      <c r="G47" s="20" t="s">
        <v>26</v>
      </c>
      <c r="H47" s="21"/>
      <c r="I47" s="18"/>
      <c r="J47" s="18"/>
      <c r="K47" s="18"/>
    </row>
    <row r="48" spans="1:11" ht="11.1" customHeight="1" x14ac:dyDescent="0.25">
      <c r="A48" s="27">
        <v>3</v>
      </c>
      <c r="B48" s="27"/>
      <c r="C48" s="27">
        <v>4</v>
      </c>
      <c r="D48" s="17" t="s">
        <v>90</v>
      </c>
      <c r="E48" s="17" t="s">
        <v>91</v>
      </c>
      <c r="F48" s="24" t="s">
        <v>26</v>
      </c>
      <c r="G48" s="20" t="s">
        <v>26</v>
      </c>
      <c r="H48" s="21" t="s">
        <v>92</v>
      </c>
      <c r="I48" s="18"/>
      <c r="J48" s="18"/>
      <c r="K48" s="18"/>
    </row>
    <row r="49" spans="1:11" ht="11.1" customHeight="1" x14ac:dyDescent="0.25">
      <c r="A49" s="27">
        <v>3</v>
      </c>
      <c r="B49" s="27"/>
      <c r="C49" s="27">
        <v>4</v>
      </c>
      <c r="D49" s="17" t="s">
        <v>93</v>
      </c>
      <c r="E49" s="17" t="s">
        <v>94</v>
      </c>
      <c r="F49" s="24" t="s">
        <v>26</v>
      </c>
      <c r="G49" s="20" t="s">
        <v>26</v>
      </c>
      <c r="H49" s="21"/>
      <c r="I49" s="18"/>
      <c r="J49" s="18"/>
      <c r="K49" s="18"/>
    </row>
    <row r="50" spans="1:11" ht="11.1" customHeight="1" x14ac:dyDescent="0.25">
      <c r="A50" s="27">
        <v>3</v>
      </c>
      <c r="B50" s="27"/>
      <c r="C50" s="27">
        <v>4</v>
      </c>
      <c r="D50" s="17" t="s">
        <v>95</v>
      </c>
      <c r="E50" s="17" t="s">
        <v>96</v>
      </c>
      <c r="F50" s="24" t="s">
        <v>26</v>
      </c>
      <c r="G50" s="20" t="s">
        <v>26</v>
      </c>
      <c r="H50" s="21"/>
      <c r="I50" s="18"/>
      <c r="J50" s="18"/>
      <c r="K50" s="18"/>
    </row>
    <row r="51" spans="1:11" ht="11.1" customHeight="1" x14ac:dyDescent="0.25">
      <c r="A51" s="27">
        <f>SUM(A43:A50)</f>
        <v>24</v>
      </c>
      <c r="B51" s="27"/>
      <c r="C51" s="33"/>
      <c r="D51" s="33"/>
      <c r="E51" s="33"/>
      <c r="F51" s="33"/>
      <c r="G51" s="33"/>
      <c r="H51" s="33"/>
      <c r="I51" s="18"/>
      <c r="J51" s="18"/>
      <c r="K51" s="18"/>
    </row>
    <row r="52" spans="1:11" ht="11.1" customHeight="1" x14ac:dyDescent="0.25">
      <c r="A52" s="32" t="s">
        <v>97</v>
      </c>
      <c r="B52" s="32"/>
      <c r="C52" s="32"/>
      <c r="D52" s="32"/>
      <c r="E52" s="32"/>
      <c r="F52" s="32"/>
      <c r="G52" s="32"/>
      <c r="H52" s="32"/>
      <c r="I52" s="18"/>
      <c r="J52" s="18"/>
      <c r="K52" s="18"/>
    </row>
    <row r="53" spans="1:11" ht="11.1" customHeight="1" x14ac:dyDescent="0.25">
      <c r="A53" s="27">
        <v>3</v>
      </c>
      <c r="B53" s="27"/>
      <c r="C53" s="27" t="s">
        <v>98</v>
      </c>
      <c r="D53" s="17" t="s">
        <v>99</v>
      </c>
      <c r="E53" s="22" t="s">
        <v>100</v>
      </c>
      <c r="F53" s="24" t="s">
        <v>26</v>
      </c>
      <c r="G53" s="24" t="s">
        <v>26</v>
      </c>
      <c r="H53" s="21" t="s">
        <v>101</v>
      </c>
      <c r="I53" s="18"/>
      <c r="J53" s="18"/>
      <c r="K53" s="18"/>
    </row>
    <row r="54" spans="1:11" ht="11.1" customHeight="1" x14ac:dyDescent="0.25">
      <c r="A54" s="27">
        <v>3</v>
      </c>
      <c r="B54" s="27"/>
      <c r="C54" s="27" t="s">
        <v>98</v>
      </c>
      <c r="D54" s="17" t="s">
        <v>99</v>
      </c>
      <c r="E54" s="22" t="s">
        <v>102</v>
      </c>
      <c r="F54" s="24" t="s">
        <v>26</v>
      </c>
      <c r="G54" s="20" t="s">
        <v>26</v>
      </c>
      <c r="H54" s="21"/>
      <c r="I54" s="18"/>
      <c r="J54" s="18"/>
      <c r="K54" s="18"/>
    </row>
    <row r="55" spans="1:11" ht="11.1" customHeight="1" x14ac:dyDescent="0.25">
      <c r="A55" s="27">
        <v>3</v>
      </c>
      <c r="B55" s="27"/>
      <c r="C55" s="27" t="s">
        <v>98</v>
      </c>
      <c r="D55" s="17" t="s">
        <v>103</v>
      </c>
      <c r="E55" s="22" t="s">
        <v>104</v>
      </c>
      <c r="F55" s="24" t="s">
        <v>26</v>
      </c>
      <c r="G55" s="20" t="s">
        <v>26</v>
      </c>
      <c r="H55" s="21"/>
      <c r="I55" s="18"/>
      <c r="J55" s="18"/>
      <c r="K55" s="18"/>
    </row>
    <row r="56" spans="1:11" ht="11.1" customHeight="1" x14ac:dyDescent="0.25">
      <c r="A56" s="27">
        <v>1</v>
      </c>
      <c r="B56" s="27"/>
      <c r="C56" s="27" t="s">
        <v>98</v>
      </c>
      <c r="D56" s="17" t="s">
        <v>99</v>
      </c>
      <c r="E56" s="22" t="s">
        <v>105</v>
      </c>
      <c r="F56" s="24"/>
      <c r="G56" s="20" t="s">
        <v>14</v>
      </c>
      <c r="H56" s="23"/>
      <c r="I56" s="18"/>
      <c r="J56" s="18"/>
      <c r="K56" s="18"/>
    </row>
    <row r="57" spans="1:11" ht="11.1" customHeight="1" x14ac:dyDescent="0.25">
      <c r="A57" s="27">
        <v>0</v>
      </c>
      <c r="B57" s="27"/>
      <c r="C57" s="27">
        <v>7</v>
      </c>
      <c r="D57" s="17" t="s">
        <v>106</v>
      </c>
      <c r="E57" s="17" t="s">
        <v>107</v>
      </c>
      <c r="F57" s="24"/>
      <c r="G57" s="20" t="s">
        <v>14</v>
      </c>
      <c r="H57" s="21"/>
      <c r="I57" s="18"/>
      <c r="J57" s="18"/>
      <c r="K57" s="18"/>
    </row>
    <row r="58" spans="1:11" ht="11.1" customHeight="1" x14ac:dyDescent="0.25">
      <c r="A58" s="27">
        <v>0</v>
      </c>
      <c r="B58" s="27"/>
      <c r="C58" s="27">
        <v>8</v>
      </c>
      <c r="D58" s="17" t="s">
        <v>108</v>
      </c>
      <c r="E58" s="17" t="s">
        <v>109</v>
      </c>
      <c r="F58" s="24"/>
      <c r="G58" s="20"/>
      <c r="H58" s="21"/>
      <c r="I58" s="18"/>
      <c r="J58" s="18"/>
      <c r="K58" s="18"/>
    </row>
    <row r="59" spans="1:11" ht="11.1" customHeight="1" x14ac:dyDescent="0.25">
      <c r="A59" s="17">
        <f>SUM(A53:A58)</f>
        <v>10</v>
      </c>
      <c r="B59" s="27"/>
      <c r="C59" s="2"/>
      <c r="D59" s="26"/>
      <c r="E59" s="26"/>
      <c r="F59" s="26"/>
      <c r="G59" s="26"/>
      <c r="H59" s="26"/>
      <c r="I59" s="18"/>
      <c r="J59" s="18"/>
      <c r="K59" s="18"/>
    </row>
    <row r="60" spans="1:11" ht="11.1" customHeight="1" x14ac:dyDescent="0.25">
      <c r="A60" s="17">
        <f>SUM(A21+A41+A51+A59)</f>
        <v>73</v>
      </c>
      <c r="B60" s="17">
        <f>SUM(B21+B41+B51+B59)</f>
        <v>51</v>
      </c>
      <c r="C60" s="3"/>
      <c r="D60" s="30" t="s">
        <v>110</v>
      </c>
      <c r="E60" s="30"/>
      <c r="F60" s="30"/>
      <c r="G60" s="30"/>
      <c r="H60" s="30"/>
      <c r="I60" s="18"/>
      <c r="J60" s="18"/>
      <c r="K60" s="18"/>
    </row>
    <row r="61" spans="1:11" ht="12" customHeight="1" x14ac:dyDescent="0.25">
      <c r="A61" s="4" t="s">
        <v>111</v>
      </c>
      <c r="I61" s="18"/>
      <c r="J61" s="18"/>
      <c r="K61" s="18"/>
    </row>
    <row r="62" spans="1:11" ht="12" customHeight="1" x14ac:dyDescent="0.25">
      <c r="A62" s="31" t="s">
        <v>112</v>
      </c>
      <c r="B62" s="31"/>
      <c r="C62" s="31"/>
      <c r="D62" s="31"/>
      <c r="E62" s="31" t="s">
        <v>113</v>
      </c>
      <c r="F62" s="31"/>
      <c r="G62" s="31"/>
      <c r="H62" s="31"/>
      <c r="I62" s="18"/>
      <c r="J62" s="18"/>
      <c r="K62" s="18"/>
    </row>
    <row r="63" spans="1:11" ht="12" customHeight="1" x14ac:dyDescent="0.25">
      <c r="A63" s="31" t="s">
        <v>114</v>
      </c>
      <c r="B63" s="31"/>
      <c r="C63" s="31"/>
      <c r="D63" s="31"/>
      <c r="E63" s="31" t="s">
        <v>115</v>
      </c>
      <c r="F63" s="31"/>
      <c r="G63" s="31"/>
      <c r="H63" s="31"/>
      <c r="I63" s="18"/>
      <c r="J63" s="18"/>
      <c r="K63" s="18"/>
    </row>
    <row r="64" spans="1:11" ht="11.25" customHeight="1" x14ac:dyDescent="0.25">
      <c r="A64" s="31" t="s">
        <v>116</v>
      </c>
      <c r="B64" s="31"/>
      <c r="C64" s="31"/>
      <c r="D64" s="31"/>
      <c r="E64" s="31" t="s">
        <v>117</v>
      </c>
      <c r="F64" s="31"/>
      <c r="G64" s="31"/>
      <c r="H64" s="31"/>
      <c r="I64" s="18"/>
      <c r="J64" s="18"/>
      <c r="K64" s="18"/>
    </row>
    <row r="65" spans="1:11" ht="34.5" customHeight="1" x14ac:dyDescent="0.25">
      <c r="A65" s="35" t="s">
        <v>118</v>
      </c>
      <c r="B65" s="35"/>
      <c r="C65" s="35"/>
      <c r="D65" s="35"/>
      <c r="E65" s="35" t="s">
        <v>119</v>
      </c>
      <c r="F65" s="35"/>
      <c r="G65" s="35"/>
      <c r="H65" s="35"/>
      <c r="I65" s="18"/>
      <c r="J65" s="18"/>
      <c r="K65" s="18"/>
    </row>
    <row r="66" spans="1:11" ht="23.1" customHeight="1" x14ac:dyDescent="0.25">
      <c r="A66" s="35" t="s">
        <v>120</v>
      </c>
      <c r="B66" s="35"/>
      <c r="C66" s="35"/>
      <c r="D66" s="35"/>
      <c r="E66" s="35"/>
      <c r="F66" s="35"/>
      <c r="G66" s="35"/>
      <c r="H66" s="35"/>
      <c r="I66" s="18"/>
      <c r="J66" s="18"/>
      <c r="K66" s="18"/>
    </row>
    <row r="67" spans="1:11" x14ac:dyDescent="0.25">
      <c r="A67" s="5"/>
    </row>
  </sheetData>
  <mergeCells count="20">
    <mergeCell ref="E64:H64"/>
    <mergeCell ref="E65:H65"/>
    <mergeCell ref="A64:D64"/>
    <mergeCell ref="A65:D65"/>
    <mergeCell ref="A66:H66"/>
    <mergeCell ref="A1:H1"/>
    <mergeCell ref="A4:H4"/>
    <mergeCell ref="A42:H42"/>
    <mergeCell ref="A52:H52"/>
    <mergeCell ref="A22:H22"/>
    <mergeCell ref="C2:D2"/>
    <mergeCell ref="F2:H2"/>
    <mergeCell ref="D60:H60"/>
    <mergeCell ref="A62:D62"/>
    <mergeCell ref="A63:D63"/>
    <mergeCell ref="C21:H21"/>
    <mergeCell ref="C41:H41"/>
    <mergeCell ref="C51:H51"/>
    <mergeCell ref="E62:H62"/>
    <mergeCell ref="E63:H63"/>
  </mergeCells>
  <printOptions horizontalCentered="1" verticalCentered="1"/>
  <pageMargins left="0.25" right="0.25" top="0.25" bottom="0.25" header="0" footer="0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Table!$A$1:$A$3</xm:f>
          </x14:formula1>
          <xm:sqref>E12</xm:sqref>
        </x14:dataValidation>
        <x14:dataValidation type="list" allowBlank="1" showInputMessage="1" showErrorMessage="1" xr:uid="{00000000-0002-0000-0000-000001000000}">
          <x14:formula1>
            <xm:f>Table!$A$4:$A$6</xm:f>
          </x14:formula1>
          <xm:sqref>E14</xm:sqref>
        </x14:dataValidation>
        <x14:dataValidation type="list" allowBlank="1" showInputMessage="1" showErrorMessage="1" xr:uid="{00000000-0002-0000-0000-000002000000}">
          <x14:formula1>
            <xm:f>Table!$A$7:$A$9</xm:f>
          </x14:formula1>
          <xm:sqref>E15</xm:sqref>
        </x14:dataValidation>
        <x14:dataValidation type="list" allowBlank="1" showInputMessage="1" showErrorMessage="1" xr:uid="{00000000-0002-0000-0000-000003000000}">
          <x14:formula1>
            <xm:f>Table!$E$1:$E$4</xm:f>
          </x14:formula1>
          <xm:sqref>E46:E47</xm:sqref>
        </x14:dataValidation>
        <x14:dataValidation type="list" allowBlank="1" showInputMessage="1" showErrorMessage="1" xr:uid="{00000000-0002-0000-0000-000004000000}">
          <x14:formula1>
            <xm:f>Table!$F$1:$F$8</xm:f>
          </x14:formula1>
          <xm:sqref>E48</xm:sqref>
        </x14:dataValidation>
        <x14:dataValidation type="list" allowBlank="1" showInputMessage="1" showErrorMessage="1" xr:uid="{00000000-0002-0000-0000-000005000000}">
          <x14:formula1>
            <xm:f>Table!$G$1:$G$10</xm:f>
          </x14:formula1>
          <xm:sqref>E49</xm:sqref>
        </x14:dataValidation>
        <x14:dataValidation type="list" allowBlank="1" showInputMessage="1" showErrorMessage="1" xr:uid="{00000000-0002-0000-0000-000006000000}">
          <x14:formula1>
            <xm:f>Table!$H$1:$H$14</xm:f>
          </x14:formula1>
          <xm:sqref>E50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41"/>
  <sheetViews>
    <sheetView view="pageLayout" zoomScaleNormal="100" workbookViewId="0">
      <selection activeCell="F1" sqref="F1:G1"/>
    </sheetView>
  </sheetViews>
  <sheetFormatPr defaultColWidth="9.140625" defaultRowHeight="15" x14ac:dyDescent="0.25"/>
  <cols>
    <col min="1" max="6" width="14.42578125" customWidth="1"/>
    <col min="7" max="8" width="12.7109375" customWidth="1"/>
  </cols>
  <sheetData>
    <row r="1" spans="1:8" s="1" customFormat="1" x14ac:dyDescent="0.25">
      <c r="A1" s="13" t="s">
        <v>1</v>
      </c>
      <c r="B1" s="37" t="str">
        <f>Sheet1!C2</f>
        <v>Temoc Comet</v>
      </c>
      <c r="C1" s="37"/>
      <c r="D1" s="37"/>
      <c r="E1" s="14" t="s">
        <v>2</v>
      </c>
      <c r="F1" s="38">
        <f>Sheet1!F2</f>
        <v>0</v>
      </c>
      <c r="G1" s="38"/>
      <c r="H1" s="6"/>
    </row>
    <row r="3" spans="1:8" x14ac:dyDescent="0.25">
      <c r="B3" s="13" t="s">
        <v>121</v>
      </c>
      <c r="C3" s="37"/>
      <c r="D3" s="37"/>
      <c r="E3" s="37"/>
      <c r="F3" s="37"/>
    </row>
    <row r="5" spans="1:8" ht="15.75" thickBot="1" x14ac:dyDescent="0.3">
      <c r="A5" s="15" t="s">
        <v>122</v>
      </c>
      <c r="B5" s="16"/>
      <c r="C5" s="16"/>
      <c r="D5" s="16"/>
      <c r="E5" s="16"/>
      <c r="F5" s="16"/>
    </row>
    <row r="6" spans="1:8" x14ac:dyDescent="0.25">
      <c r="A6" s="39"/>
      <c r="B6" s="40"/>
      <c r="C6" s="40"/>
      <c r="D6" s="40"/>
      <c r="E6" s="40"/>
      <c r="F6" s="40"/>
      <c r="G6" s="41"/>
    </row>
    <row r="7" spans="1:8" x14ac:dyDescent="0.25">
      <c r="A7" s="42"/>
      <c r="B7" s="43"/>
      <c r="C7" s="43"/>
      <c r="D7" s="43"/>
      <c r="E7" s="43"/>
      <c r="F7" s="43"/>
      <c r="G7" s="44"/>
    </row>
    <row r="8" spans="1:8" x14ac:dyDescent="0.25">
      <c r="A8" s="42"/>
      <c r="B8" s="43"/>
      <c r="C8" s="43"/>
      <c r="D8" s="43"/>
      <c r="E8" s="43"/>
      <c r="F8" s="43"/>
      <c r="G8" s="44"/>
    </row>
    <row r="9" spans="1:8" x14ac:dyDescent="0.25">
      <c r="A9" s="42"/>
      <c r="B9" s="43"/>
      <c r="C9" s="43"/>
      <c r="D9" s="43"/>
      <c r="E9" s="43"/>
      <c r="F9" s="43"/>
      <c r="G9" s="44"/>
    </row>
    <row r="10" spans="1:8" x14ac:dyDescent="0.25">
      <c r="A10" s="42"/>
      <c r="B10" s="43"/>
      <c r="C10" s="43"/>
      <c r="D10" s="43"/>
      <c r="E10" s="43"/>
      <c r="F10" s="43"/>
      <c r="G10" s="44"/>
    </row>
    <row r="11" spans="1:8" x14ac:dyDescent="0.25">
      <c r="A11" s="42"/>
      <c r="B11" s="43"/>
      <c r="C11" s="43"/>
      <c r="D11" s="43"/>
      <c r="E11" s="43"/>
      <c r="F11" s="43"/>
      <c r="G11" s="44"/>
    </row>
    <row r="12" spans="1:8" x14ac:dyDescent="0.25">
      <c r="A12" s="42"/>
      <c r="B12" s="43"/>
      <c r="C12" s="43"/>
      <c r="D12" s="43"/>
      <c r="E12" s="43"/>
      <c r="F12" s="43"/>
      <c r="G12" s="44"/>
    </row>
    <row r="13" spans="1:8" x14ac:dyDescent="0.25">
      <c r="A13" s="42"/>
      <c r="B13" s="43"/>
      <c r="C13" s="43"/>
      <c r="D13" s="43"/>
      <c r="E13" s="43"/>
      <c r="F13" s="43"/>
      <c r="G13" s="44"/>
    </row>
    <row r="14" spans="1:8" x14ac:dyDescent="0.25">
      <c r="A14" s="42"/>
      <c r="B14" s="43"/>
      <c r="C14" s="43"/>
      <c r="D14" s="43"/>
      <c r="E14" s="43"/>
      <c r="F14" s="43"/>
      <c r="G14" s="44"/>
    </row>
    <row r="15" spans="1:8" x14ac:dyDescent="0.25">
      <c r="A15" s="42"/>
      <c r="B15" s="43"/>
      <c r="C15" s="43"/>
      <c r="D15" s="43"/>
      <c r="E15" s="43"/>
      <c r="F15" s="43"/>
      <c r="G15" s="44"/>
    </row>
    <row r="16" spans="1:8" x14ac:dyDescent="0.25">
      <c r="A16" s="42"/>
      <c r="B16" s="43"/>
      <c r="C16" s="43"/>
      <c r="D16" s="43"/>
      <c r="E16" s="43"/>
      <c r="F16" s="43"/>
      <c r="G16" s="44"/>
    </row>
    <row r="17" spans="1:7" x14ac:dyDescent="0.25">
      <c r="A17" s="42"/>
      <c r="B17" s="43"/>
      <c r="C17" s="43"/>
      <c r="D17" s="43"/>
      <c r="E17" s="43"/>
      <c r="F17" s="43"/>
      <c r="G17" s="44"/>
    </row>
    <row r="18" spans="1:7" x14ac:dyDescent="0.25">
      <c r="A18" s="42"/>
      <c r="B18" s="43"/>
      <c r="C18" s="43"/>
      <c r="D18" s="43"/>
      <c r="E18" s="43"/>
      <c r="F18" s="43"/>
      <c r="G18" s="44"/>
    </row>
    <row r="19" spans="1:7" x14ac:dyDescent="0.25">
      <c r="A19" s="42"/>
      <c r="B19" s="43"/>
      <c r="C19" s="43"/>
      <c r="D19" s="43"/>
      <c r="E19" s="43"/>
      <c r="F19" s="43"/>
      <c r="G19" s="44"/>
    </row>
    <row r="20" spans="1:7" x14ac:dyDescent="0.25">
      <c r="A20" s="42"/>
      <c r="B20" s="43"/>
      <c r="C20" s="43"/>
      <c r="D20" s="43"/>
      <c r="E20" s="43"/>
      <c r="F20" s="43"/>
      <c r="G20" s="44"/>
    </row>
    <row r="21" spans="1:7" x14ac:dyDescent="0.25">
      <c r="A21" s="42"/>
      <c r="B21" s="43"/>
      <c r="C21" s="43"/>
      <c r="D21" s="43"/>
      <c r="E21" s="43"/>
      <c r="F21" s="43"/>
      <c r="G21" s="44"/>
    </row>
    <row r="22" spans="1:7" x14ac:dyDescent="0.25">
      <c r="A22" s="42"/>
      <c r="B22" s="43"/>
      <c r="C22" s="43"/>
      <c r="D22" s="43"/>
      <c r="E22" s="43"/>
      <c r="F22" s="43"/>
      <c r="G22" s="44"/>
    </row>
    <row r="23" spans="1:7" x14ac:dyDescent="0.25">
      <c r="A23" s="42"/>
      <c r="B23" s="43"/>
      <c r="C23" s="43"/>
      <c r="D23" s="43"/>
      <c r="E23" s="43"/>
      <c r="F23" s="43"/>
      <c r="G23" s="44"/>
    </row>
    <row r="24" spans="1:7" ht="15.75" thickBot="1" x14ac:dyDescent="0.3">
      <c r="A24" s="45"/>
      <c r="B24" s="46"/>
      <c r="C24" s="46"/>
      <c r="D24" s="46"/>
      <c r="E24" s="46"/>
      <c r="F24" s="46"/>
      <c r="G24" s="47"/>
    </row>
    <row r="27" spans="1:7" x14ac:dyDescent="0.25">
      <c r="B27" s="29" t="s">
        <v>123</v>
      </c>
      <c r="C27" s="48" t="s">
        <v>124</v>
      </c>
      <c r="D27" s="48"/>
      <c r="E27" s="29" t="s">
        <v>125</v>
      </c>
      <c r="F27" s="29" t="s">
        <v>126</v>
      </c>
    </row>
    <row r="28" spans="1:7" x14ac:dyDescent="0.25">
      <c r="B28" s="28"/>
      <c r="C28" s="36"/>
      <c r="D28" s="36"/>
      <c r="E28" s="28"/>
      <c r="F28" s="28"/>
    </row>
    <row r="29" spans="1:7" x14ac:dyDescent="0.25">
      <c r="B29" s="28"/>
      <c r="C29" s="36"/>
      <c r="D29" s="36"/>
      <c r="E29" s="28"/>
      <c r="F29" s="28"/>
    </row>
    <row r="30" spans="1:7" x14ac:dyDescent="0.25">
      <c r="B30" s="28"/>
      <c r="C30" s="36"/>
      <c r="D30" s="36"/>
      <c r="E30" s="28"/>
      <c r="F30" s="28"/>
    </row>
    <row r="31" spans="1:7" x14ac:dyDescent="0.25">
      <c r="B31" s="28"/>
      <c r="C31" s="36"/>
      <c r="D31" s="36"/>
      <c r="E31" s="28"/>
      <c r="F31" s="28"/>
    </row>
    <row r="32" spans="1:7" x14ac:dyDescent="0.25">
      <c r="B32" s="28"/>
      <c r="C32" s="36"/>
      <c r="D32" s="36"/>
      <c r="E32" s="28"/>
      <c r="F32" s="28"/>
    </row>
    <row r="33" spans="2:6" x14ac:dyDescent="0.25">
      <c r="B33" s="28"/>
      <c r="C33" s="36"/>
      <c r="D33" s="36"/>
      <c r="E33" s="28"/>
      <c r="F33" s="28"/>
    </row>
    <row r="34" spans="2:6" x14ac:dyDescent="0.25">
      <c r="B34" s="28"/>
      <c r="C34" s="36"/>
      <c r="D34" s="36"/>
      <c r="E34" s="28"/>
      <c r="F34" s="28"/>
    </row>
    <row r="35" spans="2:6" x14ac:dyDescent="0.25">
      <c r="B35" s="28"/>
      <c r="C35" s="36"/>
      <c r="D35" s="36"/>
      <c r="E35" s="28"/>
      <c r="F35" s="28"/>
    </row>
    <row r="36" spans="2:6" x14ac:dyDescent="0.25">
      <c r="B36" s="28"/>
      <c r="C36" s="36"/>
      <c r="D36" s="36"/>
      <c r="E36" s="28"/>
      <c r="F36" s="28"/>
    </row>
    <row r="37" spans="2:6" x14ac:dyDescent="0.25">
      <c r="B37" s="28"/>
      <c r="C37" s="36"/>
      <c r="D37" s="36"/>
      <c r="E37" s="28"/>
      <c r="F37" s="28"/>
    </row>
    <row r="38" spans="2:6" x14ac:dyDescent="0.25">
      <c r="B38" s="28"/>
      <c r="C38" s="36"/>
      <c r="D38" s="36"/>
      <c r="E38" s="28"/>
      <c r="F38" s="28"/>
    </row>
    <row r="39" spans="2:6" x14ac:dyDescent="0.25">
      <c r="B39" s="28"/>
      <c r="C39" s="36"/>
      <c r="D39" s="36"/>
      <c r="E39" s="28"/>
      <c r="F39" s="28"/>
    </row>
    <row r="40" spans="2:6" x14ac:dyDescent="0.25">
      <c r="B40" s="28"/>
      <c r="C40" s="36"/>
      <c r="D40" s="36"/>
      <c r="E40" s="28"/>
      <c r="F40" s="28"/>
    </row>
    <row r="41" spans="2:6" x14ac:dyDescent="0.25">
      <c r="B41" s="28"/>
      <c r="C41" s="36"/>
      <c r="D41" s="36"/>
      <c r="E41" s="28"/>
      <c r="F41" s="28"/>
    </row>
  </sheetData>
  <mergeCells count="19">
    <mergeCell ref="C41:D41"/>
    <mergeCell ref="C35:D35"/>
    <mergeCell ref="C36:D36"/>
    <mergeCell ref="C37:D37"/>
    <mergeCell ref="C38:D38"/>
    <mergeCell ref="C39:D39"/>
    <mergeCell ref="C40:D40"/>
    <mergeCell ref="C34:D34"/>
    <mergeCell ref="B1:D1"/>
    <mergeCell ref="F1:G1"/>
    <mergeCell ref="C3:F3"/>
    <mergeCell ref="A6:G24"/>
    <mergeCell ref="C27:D27"/>
    <mergeCell ref="C28:D28"/>
    <mergeCell ref="C29:D29"/>
    <mergeCell ref="C30:D30"/>
    <mergeCell ref="C31:D31"/>
    <mergeCell ref="C32:D32"/>
    <mergeCell ref="C33:D33"/>
  </mergeCells>
  <pageMargins left="0.35" right="0.35" top="0.75" bottom="0.75" header="0.3" footer="0.3"/>
  <pageSetup orientation="portrait" r:id="rId1"/>
  <headerFooter>
    <oddHeader>&amp;C&amp;20MINOR REQUIREMENTS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14"/>
  <sheetViews>
    <sheetView workbookViewId="0">
      <selection activeCell="H8" sqref="H8"/>
    </sheetView>
  </sheetViews>
  <sheetFormatPr defaultRowHeight="15" x14ac:dyDescent="0.25"/>
  <cols>
    <col min="6" max="6" width="11" bestFit="1" customWidth="1"/>
  </cols>
  <sheetData>
    <row r="1" spans="1:8" x14ac:dyDescent="0.25">
      <c r="A1" t="s">
        <v>127</v>
      </c>
      <c r="E1" t="s">
        <v>87</v>
      </c>
      <c r="F1" t="s">
        <v>128</v>
      </c>
      <c r="G1" t="s">
        <v>129</v>
      </c>
      <c r="H1" t="s">
        <v>130</v>
      </c>
    </row>
    <row r="2" spans="1:8" x14ac:dyDescent="0.25">
      <c r="A2" t="s">
        <v>28</v>
      </c>
      <c r="E2" t="s">
        <v>89</v>
      </c>
      <c r="F2" t="s">
        <v>131</v>
      </c>
      <c r="G2" t="s">
        <v>132</v>
      </c>
      <c r="H2" t="s">
        <v>133</v>
      </c>
    </row>
    <row r="3" spans="1:8" x14ac:dyDescent="0.25">
      <c r="A3" t="s">
        <v>134</v>
      </c>
      <c r="E3" t="s">
        <v>135</v>
      </c>
      <c r="F3" t="s">
        <v>136</v>
      </c>
      <c r="G3" t="s">
        <v>137</v>
      </c>
      <c r="H3" t="s">
        <v>138</v>
      </c>
    </row>
    <row r="4" spans="1:8" x14ac:dyDescent="0.25">
      <c r="A4" t="s">
        <v>33</v>
      </c>
      <c r="E4" t="s">
        <v>139</v>
      </c>
      <c r="F4" t="s">
        <v>91</v>
      </c>
      <c r="G4" t="s">
        <v>140</v>
      </c>
      <c r="H4" t="s">
        <v>141</v>
      </c>
    </row>
    <row r="5" spans="1:8" x14ac:dyDescent="0.25">
      <c r="A5" t="s">
        <v>142</v>
      </c>
      <c r="F5" t="s">
        <v>143</v>
      </c>
      <c r="G5" t="s">
        <v>144</v>
      </c>
      <c r="H5" t="s">
        <v>96</v>
      </c>
    </row>
    <row r="6" spans="1:8" x14ac:dyDescent="0.25">
      <c r="A6" t="s">
        <v>145</v>
      </c>
      <c r="F6" t="s">
        <v>146</v>
      </c>
      <c r="G6" t="s">
        <v>147</v>
      </c>
      <c r="H6" t="s">
        <v>100</v>
      </c>
    </row>
    <row r="7" spans="1:8" x14ac:dyDescent="0.25">
      <c r="A7" t="s">
        <v>35</v>
      </c>
      <c r="F7" t="s">
        <v>148</v>
      </c>
      <c r="G7" t="s">
        <v>94</v>
      </c>
      <c r="H7" t="s">
        <v>149</v>
      </c>
    </row>
    <row r="8" spans="1:8" x14ac:dyDescent="0.25">
      <c r="A8" t="s">
        <v>150</v>
      </c>
      <c r="F8" t="s">
        <v>151</v>
      </c>
      <c r="G8" t="s">
        <v>152</v>
      </c>
      <c r="H8" t="s">
        <v>153</v>
      </c>
    </row>
    <row r="9" spans="1:8" x14ac:dyDescent="0.25">
      <c r="A9" t="s">
        <v>154</v>
      </c>
      <c r="G9" t="s">
        <v>155</v>
      </c>
      <c r="H9" t="s">
        <v>156</v>
      </c>
    </row>
    <row r="10" spans="1:8" x14ac:dyDescent="0.25">
      <c r="G10" t="s">
        <v>157</v>
      </c>
      <c r="H10" t="s">
        <v>158</v>
      </c>
    </row>
    <row r="11" spans="1:8" x14ac:dyDescent="0.25">
      <c r="H11" t="s">
        <v>159</v>
      </c>
    </row>
    <row r="12" spans="1:8" x14ac:dyDescent="0.25">
      <c r="H12" t="s">
        <v>160</v>
      </c>
    </row>
    <row r="13" spans="1:8" x14ac:dyDescent="0.25">
      <c r="H13" t="s">
        <v>161</v>
      </c>
    </row>
    <row r="14" spans="1:8" x14ac:dyDescent="0.25">
      <c r="H14" t="s">
        <v>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Minor</vt:lpstr>
      <vt:lpstr>NOTES</vt:lpstr>
      <vt:lpstr>Table</vt:lpstr>
    </vt:vector>
  </TitlesOfParts>
  <Manager/>
  <Company>University of Texas at Dallas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Computer Science Dept.</dc:creator>
  <cp:keywords/>
  <dc:description/>
  <cp:lastModifiedBy>test</cp:lastModifiedBy>
  <cp:revision/>
  <dcterms:created xsi:type="dcterms:W3CDTF">2020-03-17T13:56:33Z</dcterms:created>
  <dcterms:modified xsi:type="dcterms:W3CDTF">2020-11-16T04:32:35Z</dcterms:modified>
  <cp:category/>
  <cp:contentStatus/>
</cp:coreProperties>
</file>